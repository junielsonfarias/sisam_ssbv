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UNIELSON\Downloads\Dados SISAM 2025\dados teste\"/>
    </mc:Choice>
  </mc:AlternateContent>
  <xr:revisionPtr revIDLastSave="0" documentId="13_ncr:1_{CB398830-BD2C-4778-8472-7774E1F7EC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º_An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" i="5" l="1"/>
  <c r="AZ2" i="5"/>
  <c r="BA2" i="5" s="1"/>
  <c r="AY2" i="5"/>
</calcChain>
</file>

<file path=xl/sharedStrings.xml><?xml version="1.0" encoding="utf-8"?>
<sst xmlns="http://schemas.openxmlformats.org/spreadsheetml/2006/main" count="102" uniqueCount="62">
  <si>
    <t>ALUNO</t>
  </si>
  <si>
    <t>Q1</t>
  </si>
  <si>
    <t>Q2</t>
  </si>
  <si>
    <t>Q3</t>
  </si>
  <si>
    <t>Q4</t>
  </si>
  <si>
    <t>ESCOLA</t>
  </si>
  <si>
    <t>POLO</t>
  </si>
  <si>
    <t>TURMA</t>
  </si>
  <si>
    <t>ANO/SÉRIE</t>
  </si>
  <si>
    <t>P/F</t>
  </si>
  <si>
    <t>PRODUÇÃO</t>
  </si>
  <si>
    <t>NÍVEL_PROD</t>
  </si>
  <si>
    <t>NOTA_LP</t>
  </si>
  <si>
    <t>NOTA_MAT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</si>
  <si>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</si>
  <si>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</si>
  <si>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</si>
  <si>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</si>
  <si>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</si>
  <si>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</si>
  <si>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</si>
  <si>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</si>
  <si>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</si>
  <si>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</si>
  <si>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</si>
  <si>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</si>
  <si>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</si>
  <si>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</si>
  <si>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</si>
  <si>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</si>
  <si>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</si>
  <si>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</si>
  <si>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5º</t>
  </si>
  <si>
    <t>Q15</t>
  </si>
  <si>
    <t>Q16</t>
  </si>
  <si>
    <t>Q17</t>
  </si>
  <si>
    <t>Q18</t>
  </si>
  <si>
    <t>Q19</t>
  </si>
  <si>
    <t>Q20</t>
  </si>
  <si>
    <t>CIDADE</t>
  </si>
  <si>
    <t>F5T901</t>
  </si>
  <si>
    <t>EMEF NOSSA SRA DE LOURDES</t>
  </si>
  <si>
    <t>WILLIAM FERREIRA FARIAS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</si>
  <si>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</si>
  <si>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</si>
  <si>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</si>
  <si>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</si>
  <si>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</si>
  <si>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</si>
  <si>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</si>
  <si>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</si>
  <si>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</si>
  <si>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</si>
  <si>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</si>
  <si>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</si>
  <si>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</si>
  <si>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</si>
  <si>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ANO</t>
  </si>
  <si>
    <t>2025</t>
  </si>
  <si>
    <t>P</t>
  </si>
  <si>
    <t>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</si>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</sst>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rgb="FF002060"/>
      <name val="Arial"/>
      <family val="2"/>
    </font>
    <font>
      <b/>
      <sz val="10"/>
      <color rgb="FFE73C07"/>
      <name val="Arial"/>
      <family val="2"/>
    </font>
    <font>
      <b/>
      <sz val="10"/>
      <color rgb="FF7030A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8CBE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  <strike val="0"/>
        <color rgb="FFC00000"/>
      </font>
      <fill>
        <patternFill>
          <fgColor theme="5" tint="0.39991454817346722"/>
          <bgColor theme="5" tint="0.39994506668294322"/>
        </patternFill>
      </fill>
    </dxf>
  </dxfs>
  <tableStyles count="0" defaultTableStyle="TableStyleMedium2" defaultPivotStyle="PivotStyleLight16"/>
  <colors>
    <mruColors>
      <color rgb="FFFFFF99"/>
      <color rgb="FF006600"/>
      <color rgb="FFE73C07"/>
      <color rgb="FF78CBE8"/>
      <color rgb="FFF8A934"/>
      <color rgb="FFFAF3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3C08-CFE7-4FAC-B9FB-0BB5DD919A7F}">
  <sheetPr>
    <tabColor rgb="FF00B0F0"/>
    <pageSetUpPr fitToPage="1"/>
  </sheetPr>
  <dimension ref="A1:BA2"/>
  <sheetViews>
    <sheetView showGridLines="0" tabSelected="1" topLeftCell="Q1" zoomScaleNormal="100" workbookViewId="0">
      <pane ySplit="1" topLeftCell="A2" activePane="bottomLeft" state="frozen"/>
      <selection pane="bottomLeft" activeCell="AO7" sqref="AO7"/>
    </sheetView>
  </sheetViews>
  <sheetFormatPr defaultRowHeight="14.4" x14ac:dyDescent="0.3"/>
  <cols>
    <col min="1" max="1" width="12.77734375" style="4" customWidth="1"/>
    <col min="2" max="2" width="19.5546875" customWidth="1"/>
    <col min="3" max="3" width="34.109375" customWidth="1"/>
    <col min="4" max="4" width="37.33203125" customWidth="1"/>
    <col min="5" max="5" width="11.109375" customWidth="1"/>
    <col min="6" max="6" width="12.5546875" customWidth="1"/>
    <col min="7" max="7" width="5.33203125" customWidth="1"/>
    <col min="8" max="41" width="4.33203125" customWidth="1"/>
    <col min="42" max="49" width="6" customWidth="1"/>
    <col min="50" max="50" width="9.33203125" customWidth="1"/>
    <col min="51" max="51" width="10.88671875" customWidth="1"/>
    <col min="52" max="52" width="11.5546875" customWidth="1"/>
    <col min="53" max="53" width="13" customWidth="1"/>
  </cols>
  <sheetData>
    <row r="1" spans="1:53" ht="18" customHeight="1" x14ac:dyDescent="0.3">
      <c r="A1" s="2" t="s">
        <v>57</v>
      </c>
      <c r="B1" s="1" t="s">
        <v>6</v>
      </c>
      <c r="C1" s="1" t="s">
        <v>5</v>
      </c>
      <c r="D1" s="15" t="s">
        <v>0</v>
      </c>
      <c r="E1" s="15" t="s">
        <v>7</v>
      </c>
      <c r="F1" s="15" t="s">
        <v>8</v>
      </c>
      <c r="G1" s="16" t="s">
        <v>9</v>
      </c>
      <c r="H1" s="17" t="s">
        <v>1</v>
      </c>
      <c r="I1" s="18" t="s">
        <v>2</v>
      </c>
      <c r="J1" s="18" t="s">
        <v>3</v>
      </c>
      <c r="K1" s="19" t="s">
        <v>4</v>
      </c>
      <c r="L1" s="17" t="s">
        <v>22</v>
      </c>
      <c r="M1" s="18" t="s">
        <v>23</v>
      </c>
      <c r="N1" s="18" t="s">
        <v>24</v>
      </c>
      <c r="O1" s="19" t="s">
        <v>25</v>
      </c>
      <c r="P1" s="17" t="s">
        <v>26</v>
      </c>
      <c r="Q1" s="18" t="s">
        <v>27</v>
      </c>
      <c r="R1" s="18" t="s">
        <v>28</v>
      </c>
      <c r="S1" s="19" t="s">
        <v>29</v>
      </c>
      <c r="T1" s="17" t="s">
        <v>30</v>
      </c>
      <c r="U1" s="17" t="s">
        <v>31</v>
      </c>
      <c r="V1" s="20" t="s">
        <v>33</v>
      </c>
      <c r="W1" s="21" t="s">
        <v>34</v>
      </c>
      <c r="X1" s="20" t="s">
        <v>35</v>
      </c>
      <c r="Y1" s="21" t="s">
        <v>36</v>
      </c>
      <c r="Z1" s="20" t="s">
        <v>37</v>
      </c>
      <c r="AA1" s="21" t="s">
        <v>38</v>
      </c>
      <c r="AB1" s="20" t="s">
        <v>43</v>
      </c>
      <c r="AC1" s="21" t="s">
        <v>44</v>
      </c>
      <c r="AD1" s="20" t="s">
        <v>45</v>
      </c>
      <c r="AE1" s="21" t="s">
        <v>46</v>
      </c>
      <c r="AF1" s="20" t="s">
        <v>47</v>
      </c>
      <c r="AG1" s="21" t="s">
        <v>48</v>
      </c>
      <c r="AH1" s="20" t="s">
        <v>49</v>
      </c>
      <c r="AI1" s="21" t="s">
        <v>50</v>
      </c>
      <c r="AJ1" s="20" t="s">
        <v>51</v>
      </c>
      <c r="AK1" s="21" t="s">
        <v>52</v>
      </c>
      <c r="AL1" s="20" t="s">
        <v>53</v>
      </c>
      <c r="AM1" s="21" t="s">
        <v>54</v>
      </c>
      <c r="AN1" s="20" t="s">
        <v>55</v>
      </c>
      <c r="AO1" s="21" t="s">
        <v>56</v>
      </c>
      <c r="AP1" s="22" t="s">
        <v>14</v>
      </c>
      <c r="AQ1" s="22" t="s">
        <v>15</v>
      </c>
      <c r="AR1" s="23" t="s">
        <v>16</v>
      </c>
      <c r="AS1" s="23" t="s">
        <v>17</v>
      </c>
      <c r="AT1" s="23" t="s">
        <v>18</v>
      </c>
      <c r="AU1" s="24" t="s">
        <v>19</v>
      </c>
      <c r="AV1" s="24" t="s">
        <v>20</v>
      </c>
      <c r="AW1" s="25" t="s">
        <v>21</v>
      </c>
      <c r="AX1" s="26" t="s">
        <v>12</v>
      </c>
      <c r="AY1" s="21" t="s">
        <v>13</v>
      </c>
      <c r="AZ1" s="27" t="s">
        <v>10</v>
      </c>
      <c r="BA1" s="27" t="s">
        <v>11</v>
      </c>
    </row>
    <row r="2" spans="1:53" x14ac:dyDescent="0.3">
      <c r="A2" s="3" t="s">
        <v>58</v>
      </c>
      <c r="B2" s="5" t="s">
        <v>39</v>
      </c>
      <c r="C2" s="5" t="s">
        <v>41</v>
      </c>
      <c r="D2" s="6" t="s">
        <v>42</v>
      </c>
      <c r="E2" s="7" t="s">
        <v>40</v>
      </c>
      <c r="F2" s="7" t="s">
        <v>32</v>
      </c>
      <c r="G2" s="8" t="s">
        <v>59</v>
      </c>
      <c r="H2" s="9" t="s">
        <v>60</v>
      </c>
      <c r="I2" s="10" t="s">
        <v>61</v>
      </c>
      <c r="J2" s="10" t="s">
        <v>60</v>
      </c>
      <c r="K2" s="10" t="s">
        <v>60</v>
      </c>
      <c r="L2" s="10" t="s">
        <v>60</v>
      </c>
      <c r="M2" s="10" t="s">
        <v>60</v>
      </c>
      <c r="N2" s="10" t="s">
        <v>60</v>
      </c>
      <c r="O2" s="10" t="s">
        <v>60</v>
      </c>
      <c r="P2" s="10" t="s">
        <v>60</v>
      </c>
      <c r="Q2" s="10" t="s">
        <v>60</v>
      </c>
      <c r="R2" s="10" t="s">
        <v>60</v>
      </c>
      <c r="S2" s="10" t="s">
        <v>60</v>
      </c>
      <c r="T2" s="10" t="s">
        <v>61</v>
      </c>
      <c r="U2" s="11" t="s">
        <v>61</v>
      </c>
      <c r="V2" s="9" t="s">
        <v>60</v>
      </c>
      <c r="W2" s="10" t="s">
        <v>60</v>
      </c>
      <c r="X2" s="10" t="s">
        <v>60</v>
      </c>
      <c r="Y2" s="10" t="s">
        <v>60</v>
      </c>
      <c r="Z2" s="10" t="s">
        <v>60</v>
      </c>
      <c r="AA2" s="10" t="s">
        <v>60</v>
      </c>
      <c r="AB2" s="10" t="s">
        <v>60</v>
      </c>
      <c r="AC2" s="10" t="s">
        <v>60</v>
      </c>
      <c r="AD2" s="10" t="s">
        <v>60</v>
      </c>
      <c r="AE2" s="10" t="s">
        <v>61</v>
      </c>
      <c r="AF2" s="10" t="s">
        <v>61</v>
      </c>
      <c r="AG2" s="10" t="s">
        <v>61</v>
      </c>
      <c r="AH2" s="10" t="s">
        <v>60</v>
      </c>
      <c r="AI2" s="10" t="s">
        <v>60</v>
      </c>
      <c r="AJ2" s="10" t="s">
        <v>60</v>
      </c>
      <c r="AK2" s="10" t="s">
        <v>60</v>
      </c>
      <c r="AL2" s="10" t="s">
        <v>61</v>
      </c>
      <c r="AM2" s="10" t="s">
        <v>61</v>
      </c>
      <c r="AN2" s="10" t="s">
        <v>61</v>
      </c>
      <c r="AO2" s="11" t="s">
        <v>61</v>
      </c>
      <c r="AP2" s="9" t="s">
        <v>60</v>
      </c>
      <c r="AQ2" s="10" t="s">
        <v>60</v>
      </c>
      <c r="AR2" s="10" t="s">
        <v>60</v>
      </c>
      <c r="AS2" s="10" t="s">
        <v>61</v>
      </c>
      <c r="AT2" s="10" t="s">
        <v>61</v>
      </c>
      <c r="AU2" s="10" t="s">
        <v>60</v>
      </c>
      <c r="AV2" s="10" t="s">
        <v>60</v>
      </c>
      <c r="AW2" s="10" t="s">
        <v>60</v>
      </c>
      <c r="AX2" s="14">
        <f t="shared" ref="AX2" si="0">IF(D2="","-",COUNTIF(H2:U2,"X"))</f>
        <v>11</v>
      </c>
      <c r="AY2" s="12">
        <f t="shared" ref="AY2" si="1">IF(D2="","-",COUNTIF(V2:AO2,"X"))</f>
        <v>13</v>
      </c>
      <c r="AZ2" s="12">
        <f t="shared" ref="AZ2" si="2">IF(D2="","-",COUNTIF(AP2:AW2,"X"))</f>
        <v>6</v>
      </c>
      <c r="BA2" s="13" t="str">
        <f t="shared" ref="BA2" si="3">IF(AZ2="","-",IF(AZ2=0,"S/R",IF(AZ2&lt;3,"N1",IF(AZ2&lt;=5,"N2",IF(AZ2&lt;=7,"N3",IF(AZ2="-","-","N4"))))))</f>
        <v>N3</v>
      </c>
    </row>
  </sheetData>
  <sheetProtection selectLockedCells="1"/>
  <phoneticPr fontId="2" type="noConversion"/>
  <conditionalFormatting sqref="H2:AW2">
    <cfRule type="containsText" dxfId="2" priority="2" operator="containsText" text="F">
      <formula>NOT(ISERROR(SEARCH("F",H2)))</formula>
    </cfRule>
    <cfRule type="containsText" dxfId="1" priority="3" operator="containsText" text="X">
      <formula>NOT(ISERROR(SEARCH("X",H2)))</formula>
    </cfRule>
  </conditionalFormatting>
  <conditionalFormatting sqref="D2">
    <cfRule type="duplicateValues" dxfId="0" priority="7"/>
  </conditionalFormatting>
  <pageMargins left="0.235625" right="0.31496062992125984" top="0.30479166666666668" bottom="0.19685039370078741" header="0.10416666666666667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5º_Ano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N3</dc:creator>
  <cp:lastModifiedBy>Junielson Farias</cp:lastModifiedBy>
  <cp:lastPrinted>2024-10-19T19:19:14Z</cp:lastPrinted>
  <dcterms:created xsi:type="dcterms:W3CDTF">2017-10-07T17:15:03Z</dcterms:created>
  <dcterms:modified xsi:type="dcterms:W3CDTF">2026-01-07T00:34:29Z</dcterms:modified>
</cp:coreProperties>
</file>