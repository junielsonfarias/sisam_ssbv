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UNIELSON\Downloads\Dados SISAM 2025\dados teste\"/>
    </mc:Choice>
  </mc:AlternateContent>
  <xr:revisionPtr revIDLastSave="0" documentId="13_ncr:1_{FCDD6873-2F73-43E7-A269-B8366F8E91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º Ano e 3º Ano 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" i="6" l="1"/>
  <c r="AT2" i="6" l="1"/>
  <c r="AS2" i="6"/>
  <c r="AR2" i="6"/>
</calcChain>
</file>

<file path=xl/sharedStrings.xml><?xml version="1.0" encoding="utf-8"?>
<sst xmlns="http://schemas.openxmlformats.org/spreadsheetml/2006/main" count="90" uniqueCount="56">
  <si>
    <t>ALUNO</t>
  </si>
  <si>
    <t>Q1</t>
  </si>
  <si>
    <t>Q2</t>
  </si>
  <si>
    <t>Q3</t>
  </si>
  <si>
    <t>Q4</t>
  </si>
  <si>
    <t>ESCOLA</t>
  </si>
  <si>
    <t>POLO</t>
  </si>
  <si>
    <t>TURMA</t>
  </si>
  <si>
    <t>ANO/SÉRIE</t>
  </si>
  <si>
    <t>P/F</t>
  </si>
  <si>
    <t>PRODUÇÃO</t>
  </si>
  <si>
    <t>NÍVEL_PROD</t>
  </si>
  <si>
    <t>NOTA_LP</t>
  </si>
  <si>
    <t>NOTA_MAT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</si>
  <si>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</si>
  <si>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</si>
  <si>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</si>
  <si>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</si>
  <si>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</si>
  <si>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</si>
  <si>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</si>
  <si>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</si>
  <si>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</si>
  <si>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</si>
  <si>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</si>
  <si>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</si>
  <si>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</si>
  <si>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</si>
  <si>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</si>
  <si>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</si>
  <si>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</si>
  <si>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</si>
  <si>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3º</t>
  </si>
  <si>
    <t>Q15</t>
  </si>
  <si>
    <t>Q16</t>
  </si>
  <si>
    <t>Q17</t>
  </si>
  <si>
    <t>Q18</t>
  </si>
  <si>
    <t>Q19</t>
  </si>
  <si>
    <t>Q20</t>
  </si>
  <si>
    <t>CIDADE</t>
  </si>
  <si>
    <t>EMEF PDE JOSÉ DE ANCHIETA</t>
  </si>
  <si>
    <t>F3T902</t>
  </si>
  <si>
    <t>JULIA CAROLINE FERREIRA FARIAS</t>
  </si>
  <si>
    <t>Q21</t>
  </si>
  <si>
    <t>Q22</t>
  </si>
  <si>
    <t>Q23</t>
  </si>
  <si>
    <t>Q24</t>
  </si>
  <si>
    <t>Q25</t>
  </si>
  <si>
    <t>Q26</t>
  </si>
  <si>
    <t>Q27</t>
  </si>
  <si>
    <t>Q28</t>
  </si>
  <si>
    <t>ANO</t>
  </si>
  <si>
    <t>2025</t>
  </si>
  <si>
    <t>P</t>
  </si>
  <si>
    <t>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</si>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</sst>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rgb="FF002060"/>
      <name val="Arial"/>
      <family val="2"/>
    </font>
    <font>
      <b/>
      <sz val="10"/>
      <color rgb="FFE73C07"/>
      <name val="Arial"/>
      <family val="2"/>
    </font>
    <font>
      <b/>
      <sz val="10"/>
      <color rgb="FF7030A0"/>
      <name val="Arial"/>
      <family val="2"/>
    </font>
    <font>
      <sz val="10"/>
      <color rgb="FF11182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8CBE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1" applyNumberFormat="1" applyFont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9" fillId="0" borderId="0" xfId="0" applyFont="1"/>
    <xf numFmtId="0" fontId="5" fillId="5" borderId="6" xfId="0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Vírgula" xfId="1" builtinId="3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  <strike val="0"/>
        <color rgb="FFC00000"/>
      </font>
      <fill>
        <patternFill>
          <fgColor theme="5" tint="0.39991454817346722"/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99"/>
      <color rgb="FF006600"/>
      <color rgb="FFE73C07"/>
      <color rgb="FF78CBE8"/>
      <color rgb="FFF8A934"/>
      <color rgb="FFFAF3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56D75-EB79-4A28-A80F-0F8ADA82847E}" name="Tabela1" displayName="Tabela1" ref="A1:AU2" totalsRowShown="0" headerRowBorderDxfId="56" tableBorderDxfId="55" totalsRowBorderDxfId="54">
  <autoFilter ref="A1:AU2" xr:uid="{A7E56D75-EB79-4A28-A80F-0F8ADA82847E}"/>
  <tableColumns count="47">
    <tableColumn id="1" xr3:uid="{B2AC6C49-E9E7-4C2A-B657-B53F02F006E4}" name="ANO" dataDxfId="53"/>
    <tableColumn id="2" xr3:uid="{CBE6B557-24AD-47B2-B92C-1DE287353346}" name="POLO" dataDxfId="52"/>
    <tableColumn id="3" xr3:uid="{F31680BC-AABF-4069-B10B-C65E8A5FAEC7}" name="ESCOLA" dataDxfId="51"/>
    <tableColumn id="4" xr3:uid="{68104EC7-48CD-49B5-B34E-58A00B248F12}" name="ALUNO" dataDxfId="50"/>
    <tableColumn id="5" xr3:uid="{E740304F-1F40-46E8-A591-27E504759FE7}" name="TURMA" dataDxfId="49"/>
    <tableColumn id="6" xr3:uid="{33BCF94A-4F49-40D6-9FBF-2F2C0B39B824}" name="ANO/SÉRIE" dataDxfId="48"/>
    <tableColumn id="7" xr3:uid="{BAFD5320-8AE2-4F71-A1DA-45C980D9E950}" name="P/F" dataDxfId="47"/>
    <tableColumn id="8" xr3:uid="{2BADFF2A-4D14-4223-AF71-ABCDC9B276F3}" name="Q1" dataDxfId="46"/>
    <tableColumn id="9" xr3:uid="{29ED35CA-9DEC-488A-B0AA-A7F158ABABA5}" name="Q2" dataDxfId="45"/>
    <tableColumn id="10" xr3:uid="{FF3AD2A6-2FA8-4F3F-A2E0-E3ECB2A0704F}" name="Q3" dataDxfId="44"/>
    <tableColumn id="11" xr3:uid="{B063A14F-B1E1-4B29-9F17-C431FE3FDE28}" name="Q4" dataDxfId="43"/>
    <tableColumn id="12" xr3:uid="{B4A66D2C-3E77-4830-B35F-31D6128DD317}" name="Q5" dataDxfId="42"/>
    <tableColumn id="13" xr3:uid="{7D994210-6054-470A-BAAA-4C1D13E9D213}" name="Q6" dataDxfId="41"/>
    <tableColumn id="14" xr3:uid="{D4C8C026-7167-406C-9210-E85E9094ABAD}" name="Q7" dataDxfId="40"/>
    <tableColumn id="15" xr3:uid="{D31BB0E2-9119-4F48-A61F-EC05A92DC018}" name="Q8" dataDxfId="39"/>
    <tableColumn id="16" xr3:uid="{6852EA79-3AB1-426D-94E1-266379ACA41A}" name="Q9" dataDxfId="38"/>
    <tableColumn id="17" xr3:uid="{3578B446-D9E0-49B8-AE78-CB0DCFB25D73}" name="Q10" dataDxfId="37"/>
    <tableColumn id="18" xr3:uid="{816D20D3-50E8-494C-9E81-9C0BB861F8A1}" name="Q11" dataDxfId="36"/>
    <tableColumn id="19" xr3:uid="{28D2AF30-AEA0-476C-BE2B-851C8356DAB0}" name="Q12" dataDxfId="35"/>
    <tableColumn id="20" xr3:uid="{C22CB835-9016-4925-93FC-85D91E591EF8}" name="Q13" dataDxfId="34"/>
    <tableColumn id="21" xr3:uid="{BB34BDBC-0411-42CD-8D80-5A07036B4863}" name="Q14" dataDxfId="33"/>
    <tableColumn id="22" xr3:uid="{44E294D6-2727-4341-8A5D-B46829203E20}" name="Q15" dataDxfId="32"/>
    <tableColumn id="23" xr3:uid="{15D00872-A7B2-44CF-8E73-270E5D1DF883}" name="Q16" dataDxfId="31"/>
    <tableColumn id="24" xr3:uid="{8458FCB7-6543-4030-81C5-6A4AD63CA77B}" name="Q17" dataDxfId="30"/>
    <tableColumn id="25" xr3:uid="{1F9B5765-703E-4753-BB3A-1182AC17AA4F}" name="Q18" dataDxfId="29"/>
    <tableColumn id="26" xr3:uid="{E3745FC7-7E52-45BF-955A-878380098D6E}" name="Q19" dataDxfId="28"/>
    <tableColumn id="27" xr3:uid="{FB6EE26C-3142-413C-8E74-A3350D5E2439}" name="Q20" dataDxfId="27"/>
    <tableColumn id="28" xr3:uid="{629E3D20-65BF-439D-94E8-6F720EB41073}" name="Q21" dataDxfId="26"/>
    <tableColumn id="29" xr3:uid="{968E2DC5-525D-492D-BB08-2002267A5212}" name="Q22" dataDxfId="25"/>
    <tableColumn id="30" xr3:uid="{12013805-BD5E-40BD-8717-496287748BC3}" name="Q23" dataDxfId="24"/>
    <tableColumn id="31" xr3:uid="{38F359FB-9EAC-44DD-8C32-8A1AC1A8FA7B}" name="Q24" dataDxfId="23"/>
    <tableColumn id="32" xr3:uid="{32DD316D-427F-4E5E-B543-ECBBC1041585}" name="Q25" dataDxfId="22"/>
    <tableColumn id="33" xr3:uid="{456D59B8-C692-41BA-9B3E-47D1A3ED1792}" name="Q26" dataDxfId="21"/>
    <tableColumn id="34" xr3:uid="{AC16C9EA-CF07-4DB1-8859-0AADD622B4D7}" name="Q27" dataDxfId="20"/>
    <tableColumn id="35" xr3:uid="{C77A6633-ED1D-4F3E-8117-7353FC1A42DC}" name="Q28" dataDxfId="19"/>
    <tableColumn id="36" xr3:uid="{73166095-14E6-4B36-9D61-EE797CAB8317}" name="Item1" dataDxfId="18"/>
    <tableColumn id="37" xr3:uid="{E40C0AA0-241D-483D-BF9A-C52085E233DF}" name="Item2" dataDxfId="17"/>
    <tableColumn id="38" xr3:uid="{40663DA8-A6C5-4659-94D8-BB39ABB778DB}" name="Item3" dataDxfId="16"/>
    <tableColumn id="39" xr3:uid="{84400F62-318C-44FE-953C-6135B6E6D6CC}" name="Item4" dataDxfId="15"/>
    <tableColumn id="40" xr3:uid="{9F26704E-E6C6-4270-954A-D6AEE4FF65C2}" name="Item5" dataDxfId="14"/>
    <tableColumn id="41" xr3:uid="{7C7EA9EC-B835-4570-A71D-26779A9EC5EA}" name="Item6" dataDxfId="13"/>
    <tableColumn id="42" xr3:uid="{27D1C3CD-78D5-4406-9FAF-3C66ACE00BAB}" name="Item7" dataDxfId="12"/>
    <tableColumn id="48" xr3:uid="{3EBA68F6-2945-4BD3-A14F-7872E8F75AA8}" name="Item8" dataDxfId="11"/>
    <tableColumn id="44" xr3:uid="{2A7E0544-F3E9-434D-9776-FF50952A5926}" name="NOTA_LP" dataDxfId="10" dataCellStyle="Vírgula">
      <calculatedColumnFormula>IF(D2="","-",COUNTIF(H2:U2,"X"))</calculatedColumnFormula>
    </tableColumn>
    <tableColumn id="45" xr3:uid="{1DC73ABF-C9F2-4931-8CFB-A801B5125F66}" name="NOTA_MAT" dataDxfId="9" dataCellStyle="Vírgula">
      <calculatedColumnFormula>IF(D2="","-",COUNTIF(V2:AI2,"X"))</calculatedColumnFormula>
    </tableColumn>
    <tableColumn id="46" xr3:uid="{E1C8680E-2A02-489E-A3B1-E6C7E3AA3E9B}" name="PRODUÇÃO" dataDxfId="8" dataCellStyle="Vírgula">
      <calculatedColumnFormula>IF(D2="","-",COUNTIF(AJ2:AP2,"X"))</calculatedColumnFormula>
    </tableColumn>
    <tableColumn id="47" xr3:uid="{8EEE2E5D-B220-4B4D-98F7-657CDA4FA3B4}" name="NÍVEL_PROD" dataDxfId="7" dataCellStyle="Vírgula">
      <calculatedColumnFormula>IF(AT2="","-",IF(AT2=0,"S/R",IF(AT2&lt;3,"N1",IF(AT2&lt;=5,"N2",IF(AT2&lt;=7,"N3",IF(AT2="-","-","N4"))))))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DADB-742E-4387-AB58-620F23932FB6}">
  <sheetPr>
    <tabColor rgb="FF00B0F0"/>
  </sheetPr>
  <dimension ref="A1:AU2"/>
  <sheetViews>
    <sheetView tabSelected="1" topLeftCell="AA1" workbookViewId="0">
      <selection activeCell="AT9" sqref="AT9"/>
    </sheetView>
  </sheetViews>
  <sheetFormatPr defaultRowHeight="14.4" x14ac:dyDescent="0.3"/>
  <cols>
    <col min="2" max="2" width="19.109375" customWidth="1"/>
    <col min="3" max="3" width="39.44140625" customWidth="1"/>
    <col min="4" max="4" width="50.6640625" customWidth="1"/>
    <col min="5" max="5" width="9.33203125" customWidth="1"/>
    <col min="6" max="6" width="12.88671875" customWidth="1"/>
    <col min="44" max="44" width="11.33203125" customWidth="1"/>
    <col min="45" max="45" width="12.77734375" customWidth="1"/>
    <col min="46" max="46" width="13.5546875" customWidth="1"/>
    <col min="47" max="47" width="14.5546875" customWidth="1"/>
  </cols>
  <sheetData>
    <row r="1" spans="1:47" x14ac:dyDescent="0.3">
      <c r="A1" s="12" t="s">
        <v>51</v>
      </c>
      <c r="B1" s="13" t="s">
        <v>6</v>
      </c>
      <c r="C1" s="13" t="s">
        <v>5</v>
      </c>
      <c r="D1" s="14" t="s">
        <v>0</v>
      </c>
      <c r="E1" s="14" t="s">
        <v>7</v>
      </c>
      <c r="F1" s="14" t="s">
        <v>8</v>
      </c>
      <c r="G1" s="15" t="s">
        <v>9</v>
      </c>
      <c r="H1" s="16" t="s">
        <v>1</v>
      </c>
      <c r="I1" s="17" t="s">
        <v>2</v>
      </c>
      <c r="J1" s="17" t="s">
        <v>3</v>
      </c>
      <c r="K1" s="18" t="s">
        <v>4</v>
      </c>
      <c r="L1" s="16" t="s">
        <v>22</v>
      </c>
      <c r="M1" s="17" t="s">
        <v>23</v>
      </c>
      <c r="N1" s="17" t="s">
        <v>24</v>
      </c>
      <c r="O1" s="18" t="s">
        <v>25</v>
      </c>
      <c r="P1" s="16" t="s">
        <v>26</v>
      </c>
      <c r="Q1" s="17" t="s">
        <v>27</v>
      </c>
      <c r="R1" s="17" t="s">
        <v>28</v>
      </c>
      <c r="S1" s="18" t="s">
        <v>29</v>
      </c>
      <c r="T1" s="16" t="s">
        <v>30</v>
      </c>
      <c r="U1" s="16" t="s">
        <v>31</v>
      </c>
      <c r="V1" s="19" t="s">
        <v>33</v>
      </c>
      <c r="W1" s="20" t="s">
        <v>34</v>
      </c>
      <c r="X1" s="19" t="s">
        <v>35</v>
      </c>
      <c r="Y1" s="20" t="s">
        <v>36</v>
      </c>
      <c r="Z1" s="19" t="s">
        <v>37</v>
      </c>
      <c r="AA1" s="20" t="s">
        <v>38</v>
      </c>
      <c r="AB1" s="19" t="s">
        <v>43</v>
      </c>
      <c r="AC1" s="20" t="s">
        <v>44</v>
      </c>
      <c r="AD1" s="19" t="s">
        <v>45</v>
      </c>
      <c r="AE1" s="20" t="s">
        <v>46</v>
      </c>
      <c r="AF1" s="19" t="s">
        <v>47</v>
      </c>
      <c r="AG1" s="20" t="s">
        <v>48</v>
      </c>
      <c r="AH1" s="19" t="s">
        <v>49</v>
      </c>
      <c r="AI1" s="20" t="s">
        <v>50</v>
      </c>
      <c r="AJ1" s="21" t="s">
        <v>14</v>
      </c>
      <c r="AK1" s="21" t="s">
        <v>15</v>
      </c>
      <c r="AL1" s="22" t="s">
        <v>16</v>
      </c>
      <c r="AM1" s="22" t="s">
        <v>17</v>
      </c>
      <c r="AN1" s="22" t="s">
        <v>18</v>
      </c>
      <c r="AO1" s="23" t="s">
        <v>19</v>
      </c>
      <c r="AP1" s="23" t="s">
        <v>20</v>
      </c>
      <c r="AQ1" s="28" t="s">
        <v>21</v>
      </c>
      <c r="AR1" s="24" t="s">
        <v>12</v>
      </c>
      <c r="AS1" s="20" t="s">
        <v>13</v>
      </c>
      <c r="AT1" s="25" t="s">
        <v>10</v>
      </c>
      <c r="AU1" s="26" t="s">
        <v>11</v>
      </c>
    </row>
    <row r="2" spans="1:47" x14ac:dyDescent="0.3">
      <c r="A2" s="10" t="s">
        <v>52</v>
      </c>
      <c r="B2" s="1" t="s">
        <v>39</v>
      </c>
      <c r="C2" s="27" t="s">
        <v>40</v>
      </c>
      <c r="D2" s="2" t="s">
        <v>42</v>
      </c>
      <c r="E2" s="3" t="s">
        <v>41</v>
      </c>
      <c r="F2" s="3" t="s">
        <v>32</v>
      </c>
      <c r="G2" s="4" t="s">
        <v>53</v>
      </c>
      <c r="H2" s="5" t="s">
        <v>54</v>
      </c>
      <c r="I2" s="6" t="s">
        <v>54</v>
      </c>
      <c r="J2" s="6" t="s">
        <v>55</v>
      </c>
      <c r="K2" s="6" t="s">
        <v>54</v>
      </c>
      <c r="L2" s="6" t="s">
        <v>54</v>
      </c>
      <c r="M2" s="6" t="s">
        <v>54</v>
      </c>
      <c r="N2" s="6" t="s">
        <v>54</v>
      </c>
      <c r="O2" s="6" t="s">
        <v>55</v>
      </c>
      <c r="P2" s="6" t="s">
        <v>55</v>
      </c>
      <c r="Q2" s="6" t="s">
        <v>54</v>
      </c>
      <c r="R2" s="6" t="s">
        <v>54</v>
      </c>
      <c r="S2" s="6" t="s">
        <v>54</v>
      </c>
      <c r="T2" s="6" t="s">
        <v>54</v>
      </c>
      <c r="U2" s="7" t="s">
        <v>54</v>
      </c>
      <c r="V2" s="5" t="s">
        <v>54</v>
      </c>
      <c r="W2" s="6" t="s">
        <v>54</v>
      </c>
      <c r="X2" s="6" t="s">
        <v>54</v>
      </c>
      <c r="Y2" s="6" t="s">
        <v>54</v>
      </c>
      <c r="Z2" s="6" t="s">
        <v>54</v>
      </c>
      <c r="AA2" s="6" t="s">
        <v>54</v>
      </c>
      <c r="AB2" s="6" t="s">
        <v>54</v>
      </c>
      <c r="AC2" s="6" t="s">
        <v>55</v>
      </c>
      <c r="AD2" s="6" t="s">
        <v>54</v>
      </c>
      <c r="AE2" s="6" t="s">
        <v>54</v>
      </c>
      <c r="AF2" s="6" t="s">
        <v>54</v>
      </c>
      <c r="AG2" s="6" t="s">
        <v>55</v>
      </c>
      <c r="AH2" s="6" t="s">
        <v>54</v>
      </c>
      <c r="AI2" s="7" t="s">
        <v>54</v>
      </c>
      <c r="AJ2" s="5" t="s">
        <v>54</v>
      </c>
      <c r="AK2" s="6" t="s">
        <v>54</v>
      </c>
      <c r="AL2" s="6" t="s">
        <v>54</v>
      </c>
      <c r="AM2" s="6" t="s">
        <v>54</v>
      </c>
      <c r="AN2" s="6" t="s">
        <v>55</v>
      </c>
      <c r="AO2" s="6" t="s">
        <v>54</v>
      </c>
      <c r="AP2" s="6" t="s">
        <v>55</v>
      </c>
      <c r="AQ2" s="29" t="s">
        <v>54</v>
      </c>
      <c r="AR2" s="9">
        <f t="shared" ref="AR2" si="0">IF(D2="","-",COUNTIF(H2:U2,"X"))</f>
        <v>11</v>
      </c>
      <c r="AS2" s="8">
        <f t="shared" ref="AS2" si="1">IF(D2="","-",COUNTIF(V2:AI2,"X"))</f>
        <v>12</v>
      </c>
      <c r="AT2" s="8">
        <f t="shared" ref="AT2" si="2">IF(D2="","-",COUNTIF(AJ2:AP2,"X"))</f>
        <v>5</v>
      </c>
      <c r="AU2" s="11" t="str">
        <f>IF(AT2="","-",IF(AT2=0,"S/R",IF(AT2&lt;3,"N1",IF(AT2&lt;=5,"N2",IF(AT2&lt;=7,"N3",IF(AT2="-","-","N4"))))))</f>
        <v>N2</v>
      </c>
    </row>
  </sheetData>
  <phoneticPr fontId="2" type="noConversion"/>
  <conditionalFormatting sqref="H2:AQ2">
    <cfRule type="containsText" dxfId="3" priority="5" operator="containsText" text="F">
      <formula>NOT(ISERROR(SEARCH("F",H2)))</formula>
    </cfRule>
    <cfRule type="containsText" dxfId="2" priority="6" operator="containsText" text="X">
      <formula>NOT(ISERROR(SEARCH("X",H2)))</formula>
    </cfRule>
  </conditionalFormatting>
  <conditionalFormatting sqref="D2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2º Ano e 3º Ano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N3</dc:creator>
  <cp:lastModifiedBy>Junielson Farias</cp:lastModifiedBy>
  <cp:lastPrinted>2024-10-19T19:19:14Z</cp:lastPrinted>
  <dcterms:created xsi:type="dcterms:W3CDTF">2017-10-07T17:15:03Z</dcterms:created>
  <dcterms:modified xsi:type="dcterms:W3CDTF">2026-01-06T19:45:26Z</dcterms:modified>
</cp:coreProperties>
</file>